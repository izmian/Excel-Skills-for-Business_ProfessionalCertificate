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na\Downloads\Excel Skills for Business\Intermediate-II---Week-6\"/>
    </mc:Choice>
  </mc:AlternateContent>
  <xr:revisionPtr revIDLastSave="0" documentId="13_ncr:1_{AFA1D077-E372-4161-9211-46D856D50B11}" xr6:coauthVersionLast="47" xr6:coauthVersionMax="47" xr10:uidLastSave="{00000000-0000-0000-0000-000000000000}"/>
  <bookViews>
    <workbookView xWindow="810" yWindow="-120" windowWidth="19800" windowHeight="11760" firstSheet="1" activeTab="1" xr2:uid="{487BD1FB-EDF8-4739-9697-2413B7089D02}"/>
  </bookViews>
  <sheets>
    <sheet name="Sheet1" sheetId="1" state="hidden" r:id="rId1"/>
    <sheet name="Sheet2" sheetId="2" r:id="rId2"/>
    <sheet name="BPay" sheetId="3" r:id="rId3"/>
  </sheets>
  <externalReferences>
    <externalReference r:id="rId4"/>
  </externalReferences>
  <definedNames>
    <definedName name="BPAY20170814" localSheetId="2">BPay!$A$9:$D$10</definedName>
    <definedName name="BPAY20170814_12" localSheetId="2">BPay!$A$9:$D$37</definedName>
    <definedName name="BPAY20170814_14" localSheetId="2">BPay!#REF!</definedName>
    <definedName name="BPAY20170814_15" localSheetId="2">BPay!#REF!</definedName>
    <definedName name="BPAY20170814_16" localSheetId="2">BPay!#REF!</definedName>
    <definedName name="BPAY20170814_2" localSheetId="2">BPay!#REF!</definedName>
    <definedName name="BPAY20170814_4" localSheetId="2">BPay!#REF!</definedName>
    <definedName name="ExternalData_1" localSheetId="2" hidden="1">BPay!#REF!</definedName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" l="1"/>
  <c r="D5" i="3"/>
  <c r="D4" i="3"/>
  <c r="D3" i="3"/>
  <c r="D2" i="3"/>
  <c r="C6" i="2"/>
  <c r="C7" i="2"/>
  <c r="C8" i="2"/>
  <c r="C9" i="2"/>
  <c r="C10" i="2"/>
  <c r="C11" i="2"/>
  <c r="C5" i="2"/>
  <c r="C1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76252C-778A-418C-87D7-B59C7B851081}" name="BPAY20170815" type="6" refreshedVersion="8" background="1" saveData="1">
    <textPr prompt="0" codePage="437" sourceFile="C:\Users\Isna\Downloads\Excel Skills for Business\Intermediate-II---Week-6\BPAY20170815.txt" tab="0" delimiter=";">
      <textFields count="4">
        <textField/>
        <textField/>
        <textField/>
        <textField/>
      </textFields>
    </textPr>
  </connection>
  <connection id="2" xr16:uid="{00000000-0015-0000-FFFF-FFFF01000000}" name="BPAY20170816" type="6" refreshedVersion="6" background="1" saveData="1">
    <textPr prompt="0" codePage="850" sourceFile="C:\Users\nic\Documents\Freelance Training\Maquarie Uni\MOOCS\Course3\Workbooks\BPAY20170816.txt" tab="0" delimiter=";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<sst xmlns="http://schemas.openxmlformats.org/spreadsheetml/2006/main" count="21" uniqueCount="20">
  <si>
    <t>Weekly Timesheets</t>
  </si>
  <si>
    <t>NAME:</t>
  </si>
  <si>
    <t>Alex McIntyre</t>
  </si>
  <si>
    <t>RATE:</t>
  </si>
  <si>
    <t>Weekly Timesheet</t>
  </si>
  <si>
    <t>Week Commencing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</si>
  <si>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</si>
  <si>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</si>
  <si>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</si>
  <si>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</si>
  <si>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</si>
  <si>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</si>
  <si>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</si>
  <si>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</si>
  <si>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</si>
  <si>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</si>
  <si>
    <t>Merchant ID</t>
  </si>
  <si>
    <t>REF</t>
  </si>
  <si>
    <t>Paid Date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</si>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</sst>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6" fillId="0" borderId="0" xfId="0" applyFont="1"/>
    <xf numFmtId="0" fontId="0" fillId="0" borderId="2" xfId="0" applyBorder="1"/>
    <xf numFmtId="0" fontId="4" fillId="0" borderId="0" xfId="0" applyFont="1"/>
    <xf numFmtId="0" fontId="4" fillId="0" borderId="2" xfId="0" applyFont="1" applyBorder="1"/>
    <xf numFmtId="0" fontId="7" fillId="3" borderId="3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14" fontId="0" fillId="0" borderId="0" xfId="0" applyNumberFormat="1"/>
    <xf numFmtId="0" fontId="0" fillId="0" borderId="4" xfId="0" applyBorder="1"/>
    <xf numFmtId="49" fontId="0" fillId="0" borderId="0" xfId="0" applyNumberFormat="1"/>
    <xf numFmtId="14" fontId="0" fillId="0" borderId="5" xfId="0" applyNumberFormat="1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4</xdr:row>
      <xdr:rowOff>38099</xdr:rowOff>
    </xdr:from>
    <xdr:to>
      <xdr:col>8</xdr:col>
      <xdr:colOff>152400</xdr:colOff>
      <xdr:row>6</xdr:row>
      <xdr:rowOff>152400</xdr:rowOff>
    </xdr:to>
    <xdr:sp macro="[0]!Create_Timesheet" textlink="">
      <xdr:nvSpPr>
        <xdr:cNvPr id="2" name="Rectangle 1">
          <a:extLst>
            <a:ext uri="{FF2B5EF4-FFF2-40B4-BE49-F238E27FC236}">
              <a16:creationId xmlns:a16="http://schemas.microsoft.com/office/drawing/2014/main" id="{E5D21123-816C-3A3B-02AD-F811AD9D0A71}"/>
            </a:ext>
          </a:extLst>
        </xdr:cNvPr>
        <xdr:cNvSpPr/>
      </xdr:nvSpPr>
      <xdr:spPr>
        <a:xfrm>
          <a:off x="4524375" y="2295524"/>
          <a:ext cx="1381125" cy="495301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2060"/>
              </a:solidFill>
            </a:rPr>
            <a:t>New Timesheet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161925</xdr:colOff>
      <xdr:row>3</xdr:row>
      <xdr:rowOff>114301</xdr:rowOff>
    </xdr:to>
    <xdr:sp macro="[0]!Create_Timesheet" textlink="">
      <xdr:nvSpPr>
        <xdr:cNvPr id="2" name="Rectangle 1">
          <a:extLst>
            <a:ext uri="{FF2B5EF4-FFF2-40B4-BE49-F238E27FC236}">
              <a16:creationId xmlns:a16="http://schemas.microsoft.com/office/drawing/2014/main" id="{AB5A2382-4540-4FEC-9FB2-84B23B18461E}"/>
            </a:ext>
          </a:extLst>
        </xdr:cNvPr>
        <xdr:cNvSpPr/>
      </xdr:nvSpPr>
      <xdr:spPr>
        <a:xfrm>
          <a:off x="3438525" y="266700"/>
          <a:ext cx="1381125" cy="495301"/>
        </a:xfrm>
        <a:prstGeom prst="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2060"/>
              </a:solidFill>
            </a:rPr>
            <a:t>New Timesheet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19050</xdr:rowOff>
    </xdr:from>
    <xdr:to>
      <xdr:col>7</xdr:col>
      <xdr:colOff>304800</xdr:colOff>
      <xdr:row>3</xdr:row>
      <xdr:rowOff>180975</xdr:rowOff>
    </xdr:to>
    <xdr:sp macro="[0]!import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D62DF7F-145D-C1C0-381B-2E48F2AA1EEF}"/>
            </a:ext>
          </a:extLst>
        </xdr:cNvPr>
        <xdr:cNvSpPr/>
      </xdr:nvSpPr>
      <xdr:spPr>
        <a:xfrm>
          <a:off x="5124450" y="295275"/>
          <a:ext cx="1524000" cy="542925"/>
        </a:xfrm>
        <a:prstGeom prst="roundRect">
          <a:avLst/>
        </a:prstGeom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2060"/>
              </a:solidFill>
            </a:rPr>
            <a:t>Import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na\Downloads\Excel%20Skills%20for%20Business\Intermediate-II---Week-6\Intermediate%20II%20-%20RelativeReferenceMacro.xlsm" TargetMode="External"/><Relationship Id="rId1" Type="http://schemas.openxmlformats.org/officeDocument/2006/relationships/externalLinkPath" Target="Intermediate%20II%20-%20RelativeReference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voice Data"/>
      <sheetName val="BPay"/>
    </sheetNames>
    <sheetDataSet>
      <sheetData sheetId="0">
        <row r="4">
          <cell r="B4">
            <v>0</v>
          </cell>
          <cell r="E4">
            <v>11757</v>
          </cell>
          <cell r="H4">
            <v>940.56000000000006</v>
          </cell>
          <cell r="I4">
            <v>0</v>
          </cell>
          <cell r="L4">
            <v>250</v>
          </cell>
        </row>
        <row r="5">
          <cell r="B5">
            <v>0</v>
          </cell>
          <cell r="E5">
            <v>5193</v>
          </cell>
          <cell r="H5">
            <v>0</v>
          </cell>
          <cell r="I5">
            <v>0</v>
          </cell>
          <cell r="L5">
            <v>250</v>
          </cell>
        </row>
        <row r="6">
          <cell r="B6">
            <v>3645</v>
          </cell>
          <cell r="E6">
            <v>5086</v>
          </cell>
          <cell r="H6">
            <v>0</v>
          </cell>
          <cell r="I6">
            <v>364.5</v>
          </cell>
          <cell r="L6">
            <v>0</v>
          </cell>
        </row>
        <row r="7">
          <cell r="B7">
            <v>548.45000000000005</v>
          </cell>
          <cell r="E7">
            <v>3589</v>
          </cell>
          <cell r="H7">
            <v>0</v>
          </cell>
          <cell r="I7">
            <v>0</v>
          </cell>
          <cell r="L7">
            <v>0</v>
          </cell>
        </row>
        <row r="8">
          <cell r="B8">
            <v>0</v>
          </cell>
          <cell r="E8">
            <v>7377</v>
          </cell>
          <cell r="H8">
            <v>368.85</v>
          </cell>
          <cell r="I8">
            <v>0</v>
          </cell>
          <cell r="L8">
            <v>0</v>
          </cell>
        </row>
      </sheetData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" connectionId="1" xr16:uid="{3E5A6FE1-66F5-4D67-98CF-7E095D57EBA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PAY20170814_12" connectionId="2" xr16:uid="{B2A6AA22-F06A-4CF3-BB2F-03B678898BB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J6" sqref="J6"/>
    </sheetView>
  </sheetViews>
  <sheetFormatPr defaultRowHeight="15" x14ac:dyDescent="0.25"/>
  <cols>
    <col min="4" max="4" width="1.5703125" customWidth="1"/>
    <col min="5" max="5" width="29.85546875" customWidth="1"/>
  </cols>
  <sheetData>
    <row r="1" spans="2:5" ht="55.7" customHeight="1" x14ac:dyDescent="0.25"/>
    <row r="2" spans="2:5" ht="92.25" x14ac:dyDescent="1.35">
      <c r="B2" s="1" t="s">
        <v>0</v>
      </c>
    </row>
    <row r="5" spans="2:5" x14ac:dyDescent="0.25">
      <c r="C5" s="2" t="s">
        <v>1</v>
      </c>
      <c r="E5" s="3" t="s">
        <v>2</v>
      </c>
    </row>
    <row r="6" spans="2:5" x14ac:dyDescent="0.25">
      <c r="C6" s="4"/>
    </row>
    <row r="7" spans="2:5" x14ac:dyDescent="0.25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4BBF6-67AE-4CE4-B7BB-80BA0BD5C5EF}">
  <sheetPr codeName="Sheet2"/>
  <dimension ref="A1:C12"/>
  <sheetViews>
    <sheetView tabSelected="1" workbookViewId="0">
      <selection activeCell="I6" sqref="I6"/>
    </sheetView>
  </sheetViews>
  <sheetFormatPr defaultRowHeight="15" x14ac:dyDescent="0.25"/>
  <cols>
    <col min="1" max="1" width="24.140625" bestFit="1" customWidth="1"/>
  </cols>
  <sheetData>
    <row r="1" spans="1:3" ht="21" x14ac:dyDescent="0.35">
      <c r="A1" s="6" t="s">
        <v>4</v>
      </c>
    </row>
    <row r="2" spans="1:3" x14ac:dyDescent="0.25">
      <c r="A2" s="8" t="s">
        <v>5</v>
      </c>
    </row>
    <row r="4" spans="1:3" x14ac:dyDescent="0.25">
      <c r="A4" s="8" t="s">
        <v>6</v>
      </c>
      <c r="B4" s="8" t="s">
        <v>7</v>
      </c>
      <c r="C4" s="8" t="s">
        <v>8</v>
      </c>
    </row>
    <row r="5" spans="1:3" x14ac:dyDescent="0.25">
      <c r="A5" t="s">
        <v>9</v>
      </c>
      <c r="C5">
        <f t="shared" ref="C5:C11" si="0">IF(OR(A5="Sat",A5="Sun"),B5*Rate_Hourly*1.5,B5*Rate_Hourly)</f>
        <v>0</v>
      </c>
    </row>
    <row r="6" spans="1:3" x14ac:dyDescent="0.25">
      <c r="A6" t="s">
        <v>10</v>
      </c>
      <c r="C6">
        <f t="shared" si="0"/>
        <v>0</v>
      </c>
    </row>
    <row r="7" spans="1:3" x14ac:dyDescent="0.25">
      <c r="A7" t="s">
        <v>11</v>
      </c>
      <c r="C7">
        <f t="shared" si="0"/>
        <v>0</v>
      </c>
    </row>
    <row r="8" spans="1:3" x14ac:dyDescent="0.25">
      <c r="A8" t="s">
        <v>12</v>
      </c>
      <c r="C8">
        <f t="shared" si="0"/>
        <v>0</v>
      </c>
    </row>
    <row r="9" spans="1:3" x14ac:dyDescent="0.25">
      <c r="A9" t="s">
        <v>13</v>
      </c>
      <c r="C9">
        <f t="shared" si="0"/>
        <v>0</v>
      </c>
    </row>
    <row r="10" spans="1:3" x14ac:dyDescent="0.25">
      <c r="A10" t="s">
        <v>14</v>
      </c>
      <c r="C10">
        <f t="shared" si="0"/>
        <v>0</v>
      </c>
    </row>
    <row r="11" spans="1:3" x14ac:dyDescent="0.25">
      <c r="A11" t="s">
        <v>15</v>
      </c>
      <c r="C11">
        <f t="shared" si="0"/>
        <v>0</v>
      </c>
    </row>
    <row r="12" spans="1:3" x14ac:dyDescent="0.25">
      <c r="A12" s="9" t="s">
        <v>8</v>
      </c>
      <c r="B12" s="7"/>
      <c r="C12" s="9">
        <f>SUM(C5:C11)</f>
        <v>0</v>
      </c>
    </row>
  </sheetData>
  <phoneticPr fontId="5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0812-286C-441F-858B-ACCCA315FFCA}">
  <sheetPr codeName="Sheet3"/>
  <dimension ref="A1:D8"/>
  <sheetViews>
    <sheetView zoomScaleNormal="100" workbookViewId="0">
      <selection activeCell="F8" sqref="F8"/>
    </sheetView>
  </sheetViews>
  <sheetFormatPr defaultRowHeight="15" x14ac:dyDescent="0.25"/>
  <cols>
    <col min="1" max="1" width="33.5703125" style="14" bestFit="1" customWidth="1"/>
    <col min="2" max="2" width="6" style="14" bestFit="1" customWidth="1"/>
    <col min="3" max="3" width="9.7109375" style="12" bestFit="1" customWidth="1"/>
    <col min="4" max="4" width="9" bestFit="1" customWidth="1"/>
    <col min="5" max="5" width="10.140625" bestFit="1" customWidth="1"/>
  </cols>
  <sheetData>
    <row r="1" spans="1:4" ht="21.95" customHeight="1" x14ac:dyDescent="0.25">
      <c r="A1" s="10" t="s">
        <v>16</v>
      </c>
      <c r="B1" s="10" t="s">
        <v>17</v>
      </c>
      <c r="C1" s="10" t="s">
        <v>18</v>
      </c>
      <c r="D1" s="10" t="s">
        <v>19</v>
      </c>
    </row>
    <row r="2" spans="1:4" x14ac:dyDescent="0.25">
      <c r="A2" s="11">
        <v>190483155</v>
      </c>
      <c r="B2" s="11">
        <v>30008</v>
      </c>
      <c r="C2" s="12">
        <v>42957</v>
      </c>
      <c r="D2" s="13">
        <f>'[1]Invoice Data'!$B4+'[1]Invoice Data'!$E4-'[1]Invoice Data'!$H4-'[1]Invoice Data'!$L4+'[1]Invoice Data'!$I4</f>
        <v>10566.44</v>
      </c>
    </row>
    <row r="3" spans="1:4" x14ac:dyDescent="0.25">
      <c r="A3" s="11">
        <v>190483155</v>
      </c>
      <c r="B3" s="11">
        <v>30017</v>
      </c>
      <c r="C3" s="12">
        <v>42957</v>
      </c>
      <c r="D3" s="13">
        <f>'[1]Invoice Data'!$B5+'[1]Invoice Data'!$E5-'[1]Invoice Data'!$H5-'[1]Invoice Data'!$L5+'[1]Invoice Data'!$I5</f>
        <v>4943</v>
      </c>
    </row>
    <row r="4" spans="1:4" x14ac:dyDescent="0.25">
      <c r="A4" s="11">
        <v>190483155</v>
      </c>
      <c r="B4" s="11">
        <v>30035</v>
      </c>
      <c r="C4" s="12">
        <v>42957</v>
      </c>
      <c r="D4" s="13">
        <f>'[1]Invoice Data'!$B6+'[1]Invoice Data'!$E6-'[1]Invoice Data'!$H6-'[1]Invoice Data'!$L6+'[1]Invoice Data'!$I6</f>
        <v>9095.5</v>
      </c>
    </row>
    <row r="5" spans="1:4" x14ac:dyDescent="0.25">
      <c r="A5" s="11">
        <v>190483155</v>
      </c>
      <c r="B5" s="11">
        <v>30044</v>
      </c>
      <c r="C5" s="12">
        <v>42957</v>
      </c>
      <c r="D5" s="13">
        <f>'[1]Invoice Data'!$B7+'[1]Invoice Data'!$E7-'[1]Invoice Data'!$H7-'[1]Invoice Data'!$L7+'[1]Invoice Data'!$I7</f>
        <v>4137.45</v>
      </c>
    </row>
    <row r="6" spans="1:4" x14ac:dyDescent="0.25">
      <c r="A6" s="11">
        <v>190483155</v>
      </c>
      <c r="B6" s="11">
        <v>30133</v>
      </c>
      <c r="C6" s="12">
        <v>42959</v>
      </c>
      <c r="D6" s="13">
        <f>'[1]Invoice Data'!$B8+'[1]Invoice Data'!$E8-'[1]Invoice Data'!$H8-'[1]Invoice Data'!$L8+'[1]Invoice Data'!$I8</f>
        <v>7008.15</v>
      </c>
    </row>
    <row r="7" spans="1:4" x14ac:dyDescent="0.25">
      <c r="A7" s="11">
        <v>190483155</v>
      </c>
      <c r="B7" s="11">
        <v>30053</v>
      </c>
      <c r="C7" s="12">
        <v>42959</v>
      </c>
      <c r="D7" s="13">
        <v>7377</v>
      </c>
    </row>
    <row r="8" spans="1:4" x14ac:dyDescent="0.25">
      <c r="A8" s="11">
        <v>190483155</v>
      </c>
      <c r="B8" s="11">
        <v>30222</v>
      </c>
      <c r="C8" s="15">
        <v>42960</v>
      </c>
      <c r="D8">
        <v>3838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BPay</vt:lpstr>
      <vt:lpstr>BPay!BPAY20170814</vt:lpstr>
      <vt:lpstr>BPay!BPAY20170814_12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Isna</cp:lastModifiedBy>
  <dcterms:created xsi:type="dcterms:W3CDTF">2017-09-21T02:20:08Z</dcterms:created>
  <dcterms:modified xsi:type="dcterms:W3CDTF">2025-05-02T19:34:36Z</dcterms:modified>
</cp:coreProperties>
</file>